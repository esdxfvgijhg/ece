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mandine\Desktop\ING 5\PFE\"/>
    </mc:Choice>
  </mc:AlternateContent>
  <xr:revisionPtr revIDLastSave="0" documentId="13_ncr:1_{7DF8116F-22FC-4CCA-B217-FB667A33405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5" roundtripDataSignature="AMtx7mhFzkAlSQpzMW8TjgJYiV5jE8nwFw=="/>
    </ext>
  </extLst>
</workbook>
</file>

<file path=xl/calcChain.xml><?xml version="1.0" encoding="utf-8"?>
<calcChain xmlns="http://schemas.openxmlformats.org/spreadsheetml/2006/main">
  <c r="J29" i="1" l="1"/>
  <c r="J15" i="1"/>
  <c r="J16" i="1"/>
  <c r="J24" i="1" l="1"/>
  <c r="J25" i="1"/>
  <c r="J26" i="1"/>
  <c r="J23" i="1"/>
  <c r="J22" i="1"/>
  <c r="J21" i="1"/>
  <c r="J20" i="1"/>
  <c r="J19" i="1"/>
  <c r="J17" i="1" l="1"/>
  <c r="J41" i="1" l="1"/>
  <c r="J40" i="1"/>
  <c r="J39" i="1"/>
  <c r="J38" i="1"/>
  <c r="J37" i="1"/>
  <c r="J36" i="1"/>
  <c r="J35" i="1"/>
  <c r="J34" i="1"/>
  <c r="J33" i="1"/>
  <c r="J32" i="1"/>
  <c r="J31" i="1"/>
  <c r="J30" i="1"/>
  <c r="J28" i="1"/>
  <c r="J27" i="1"/>
  <c r="J18" i="1"/>
  <c r="J14" i="1"/>
  <c r="J13" i="1"/>
  <c r="J42" i="1" l="1"/>
</calcChain>
</file>

<file path=xl/sharedStrings.xml><?xml version="1.0" encoding="utf-8"?>
<sst xmlns="http://schemas.openxmlformats.org/spreadsheetml/2006/main" count="101" uniqueCount="67">
  <si>
    <t>PFE</t>
  </si>
  <si>
    <t>PPE</t>
  </si>
  <si>
    <t>PSTE</t>
  </si>
  <si>
    <t>Nom et prenom :</t>
  </si>
  <si>
    <t>Ducruet Amandine</t>
  </si>
  <si>
    <t>Nom du mentor :</t>
  </si>
  <si>
    <t>Aghiles Djoudi</t>
  </si>
  <si>
    <t>ING1</t>
  </si>
  <si>
    <t>Coordonnées mail @ece:</t>
  </si>
  <si>
    <t>amandine.ducruet@edu.ece.fr</t>
  </si>
  <si>
    <r>
      <t xml:space="preserve">Type de projet* </t>
    </r>
    <r>
      <rPr>
        <b/>
        <sz val="12"/>
        <color rgb="FF0070C0"/>
        <rFont val="Verdana"/>
      </rPr>
      <t>|</t>
    </r>
    <r>
      <rPr>
        <b/>
        <sz val="10"/>
        <color rgb="FF0070C0"/>
        <rFont val="Verdana"/>
      </rPr>
      <t xml:space="preserve"> n°:</t>
    </r>
  </si>
  <si>
    <t>ING2</t>
  </si>
  <si>
    <t>Tel:</t>
  </si>
  <si>
    <t>Nom du projet :</t>
  </si>
  <si>
    <t>Smart Construction</t>
  </si>
  <si>
    <t>ING3</t>
  </si>
  <si>
    <t>Année d'ING *:</t>
  </si>
  <si>
    <t>ING5</t>
  </si>
  <si>
    <t>Date de la commande :</t>
  </si>
  <si>
    <t>ING4</t>
  </si>
  <si>
    <t>FOURNISSEUR</t>
  </si>
  <si>
    <t>REFERENCE</t>
  </si>
  <si>
    <t>DESIGNATION</t>
  </si>
  <si>
    <t>Quantite</t>
  </si>
  <si>
    <t>PRIX unitaire</t>
  </si>
  <si>
    <t>TOTAL ligne</t>
  </si>
  <si>
    <t>Lien internet (court)</t>
  </si>
  <si>
    <t>Go Tronic</t>
  </si>
  <si>
    <t>Capteur de gaz Grove</t>
  </si>
  <si>
    <t>https://www.gotronic.fr/art-capteur-de-gaz-grove-101020088-23825.htm#complte_desc</t>
  </si>
  <si>
    <t xml:space="preserve"> </t>
  </si>
  <si>
    <t>Carte Arduino UNO</t>
  </si>
  <si>
    <t>https://www.gotronic.fr/art-carte-arduino-uno-12420.htm#complte_desc</t>
  </si>
  <si>
    <t>Amazon</t>
  </si>
  <si>
    <t>Raspberry Plaque Base PI 3 modèle A +, Cortex A 1.4GHz, WiFi 5GHz</t>
  </si>
  <si>
    <t>https://www.amazon.fr/Raspberry-Plaque-mod%C3%A8le-Cortex-11811853/dp/B07KKBCXLY/ref=sr_1_3?__mk_fr_FR=%C3%85M%C3%85%C5%BD%C3%95%C3%91&amp;keywords=raspberry+pi+3+A%2B&amp;qid=1571425458&amp;s=computers&amp;sr=1-3</t>
  </si>
  <si>
    <t>Kubii</t>
  </si>
  <si>
    <t>Alimentation Raspberry Pi 5V 2,5A pour Raspberry Pi 3 - Couleur Blanche</t>
  </si>
  <si>
    <t>https://www.kubii.fr/14-chargeurs-alimentations-raspberry/1639-alimentation-raspberry-pi-5v-25a-pour-raspberry-pi-3-couleur-blanche-kubii-640522710911.html</t>
  </si>
  <si>
    <t>Walfrontvoq0wky428</t>
  </si>
  <si>
    <t>Kit de Module de Détection de Capteur de Poussière PM2.5 PM10</t>
  </si>
  <si>
    <t>https://www.amazon.fr/poussi%C3%A8re-pr%C3%A9cision-purificateur-num%C3%A9rique-moniteur/dp/B07HKGN68T</t>
  </si>
  <si>
    <t>Microphone arduino</t>
  </si>
  <si>
    <t>https://www.amazon.fr/Adafruit-Electret-Microphone-Amplifier-Adjustable/dp/B00K9M6S1O/ref=sr_1_3?__mk_fr_FR=%C3%85M%C3%85%C5%BD%C3%95%C3%91&amp;keywords=adafruit+MAX4466&amp;qid=1572363027&amp;sr=8-3</t>
  </si>
  <si>
    <t>AZDelivery NEO GPS</t>
  </si>
  <si>
    <t>GPS arduino</t>
  </si>
  <si>
    <t>https://www.amazon.fr/AZDelivery-NEO-6M-module-GPS-identique/dp/B01N38EMBF/ref=sr_1_1_sspa?keywords=Gps+Arduino&amp;qid=1572362570&amp;sr=8-1-spons&amp;psc=1&amp;spLa=ZW5jcnlwdGVkUXVhbGlmaWVyPUExQU4yS1RCVjRMMFEmZW5jcnlwdGVkSWQ9QTA1NzQ2NjUyVFlKSDY2N1RJSUVLJmVuY3J5cHRlZEFkSWQ9QTA1OTAwMDcxUk9KV1gwMkRHM01IJndpZGdldE5hbWU9c3BfYXRmJmFjdGlvbj1jbGlja1JlZGlyZWN0JmRvTm90TG9nQ2xpY2s9dHJ1ZQ==</t>
  </si>
  <si>
    <t>ELEGOO</t>
  </si>
  <si>
    <t>Câbles</t>
  </si>
  <si>
    <t>https://www.amazon.fr/Elegoo-Breadboard-Femelle-Longueur-Arduino/dp/B01JD5WCG2/ref=sr_1_11?__mk_fr_FR=%C3%85M%C3%85%C5%BD%C3%95%C3%91&amp;keywords=fil+electronique&amp;qid=1572362932&amp;sr=8-11</t>
  </si>
  <si>
    <t>UGREEN</t>
  </si>
  <si>
    <t>Câble USB pour Raspberry</t>
  </si>
  <si>
    <t>https://www.amazon.fr/UGREEN-10369-Transfert-SuperSpeed-Refroidisseur/dp/B00P0E3954/ref=sr_1_1_sspa?__mk_fr_FR=%C3%85M%C3%85%C5%BD%C3%95%C3%91&amp;keywords=cable+usb+male+male&amp;qid=1572363458&amp;s=computers&amp;sr=1-1-spons&amp;psc=1&amp;spLa=ZW5jcnlwdGVkUXVhbGlmaWVyPUEyNTY4OFkzSFY1ODkxJmVuY3J5cHRlZElkPUEwNjc2MTg3M0pFU05LR0w0WEJQTCZlbmNyeXB0ZWRBZElkPUEwMjc0NjIyVzI0Qk9UQVVRVFMxJndpZGdldE5hbWU9c3BfYXRmJmFjdGlvbj1jbGlja1JlZGlyZWN0JmRvTm90TG9nQ2xpY2s9dHJ1ZQ==</t>
  </si>
  <si>
    <t>MYAMIA</t>
  </si>
  <si>
    <t>Câble USB pour Arduino</t>
  </si>
  <si>
    <t>https://www.amazon.fr/MYAMIA-Alimentation-Transmission-Donn%C3%A9es-Arduino/dp/B07H23N214/ref=sr_1_9?__mk_fr_FR=%C3%85M%C3%85%C5%BD%C3%95%C3%91&amp;keywords=cable+arduino&amp;qid=1572533143&amp;sr=8-9</t>
  </si>
  <si>
    <r>
      <t xml:space="preserve"> </t>
    </r>
    <r>
      <rPr>
        <b/>
        <sz val="14"/>
        <rFont val="Arial"/>
      </rPr>
      <t>*</t>
    </r>
    <r>
      <rPr>
        <b/>
        <sz val="10"/>
        <rFont val="Arial"/>
      </rPr>
      <t xml:space="preserve">  - atention, menu déroulant !</t>
    </r>
  </si>
  <si>
    <t>Budget par projet : 300€ TTC</t>
  </si>
  <si>
    <t>Total TTC</t>
  </si>
  <si>
    <t>€</t>
  </si>
  <si>
    <t>Reichelt</t>
  </si>
  <si>
    <t>https://www.reichelt.de/sdhc-speicherkarte-8gb-intenso-class-10-intenso-3411460-p126582.html?&amp;trstct=pol_1</t>
  </si>
  <si>
    <t>Carte SD 8 GB</t>
  </si>
  <si>
    <t>INTENSO 3411460</t>
  </si>
  <si>
    <t>https://www.reichelt.de/xbee-802-15-4-1-mw-antenne-pcb-s-rie-1-zigbee-xbee-ca-p108351.html?&amp;trstct=pos_0</t>
  </si>
  <si>
    <t>ZIGBEE XBEE CA</t>
  </si>
  <si>
    <t xml:space="preserve">Module Zigbee IEEE 802.15.4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</si>
</sst>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33" x14ac:knownFonts="1"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0070C0"/>
      <name val="Verdana"/>
    </font>
    <font>
      <sz val="11"/>
      <name val="Arial"/>
    </font>
    <font>
      <sz val="10"/>
      <color rgb="FF0000FF"/>
      <name val="Verdana"/>
    </font>
    <font>
      <sz val="11"/>
      <color theme="1"/>
      <name val="Calibri"/>
    </font>
    <font>
      <u/>
      <sz val="10"/>
      <color theme="10"/>
      <name val="Arial"/>
    </font>
    <font>
      <b/>
      <sz val="12"/>
      <color theme="1"/>
      <name val="Verdana"/>
    </font>
    <font>
      <b/>
      <sz val="12"/>
      <color theme="1"/>
      <name val="Calibri"/>
    </font>
    <font>
      <b/>
      <sz val="11"/>
      <color theme="1"/>
      <name val="Verdana"/>
    </font>
    <font>
      <b/>
      <sz val="10"/>
      <color rgb="FF3F3F3F"/>
      <name val="Arial Black"/>
    </font>
    <font>
      <b/>
      <sz val="8"/>
      <color rgb="FF3F3F3F"/>
      <name val="Arial Black"/>
    </font>
    <font>
      <sz val="10"/>
      <color theme="1"/>
      <name val="Verdana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1"/>
      <color rgb="FF111111"/>
      <name val="Calibri"/>
    </font>
    <font>
      <sz val="11"/>
      <color theme="1"/>
      <name val="Arial"/>
    </font>
    <font>
      <b/>
      <sz val="12"/>
      <color theme="1"/>
      <name val="Arial"/>
    </font>
    <font>
      <sz val="10"/>
      <color rgb="FF2F5496"/>
      <name val="Arial"/>
    </font>
    <font>
      <b/>
      <sz val="12"/>
      <color rgb="FF0070C0"/>
      <name val="Verdana"/>
    </font>
    <font>
      <b/>
      <sz val="14"/>
      <name val="Arial"/>
    </font>
    <font>
      <b/>
      <sz val="10"/>
      <name val="Arial"/>
    </font>
    <font>
      <sz val="11"/>
      <color rgb="FF000000"/>
      <name val="Arial"/>
      <family val="2"/>
    </font>
    <font>
      <b/>
      <sz val="12"/>
      <color theme="1"/>
      <name val="Verdana"/>
      <family val="2"/>
    </font>
    <font>
      <b/>
      <sz val="10"/>
      <color theme="1"/>
      <name val="Arial"/>
      <family val="2"/>
    </font>
    <font>
      <u/>
      <sz val="11"/>
      <color theme="10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1"/>
      <color rgb="FF1111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6">
    <xf numFmtId="0" fontId="0" fillId="0" borderId="0" xfId="0" applyFont="1" applyAlignment="1"/>
    <xf numFmtId="0" fontId="2" fillId="0" borderId="0" xfId="0" applyFont="1"/>
    <xf numFmtId="0" fontId="3" fillId="2" borderId="5" xfId="0" applyFont="1" applyFill="1" applyBorder="1" applyAlignment="1">
      <alignment vertical="center"/>
    </xf>
    <xf numFmtId="0" fontId="6" fillId="0" borderId="0" xfId="0" applyFont="1"/>
    <xf numFmtId="0" fontId="3" fillId="2" borderId="12" xfId="0" applyFont="1" applyFill="1" applyBorder="1" applyAlignment="1">
      <alignment vertical="center"/>
    </xf>
    <xf numFmtId="0" fontId="8" fillId="0" borderId="13" xfId="0" applyFont="1" applyBorder="1" applyAlignment="1">
      <alignment vertical="top"/>
    </xf>
    <xf numFmtId="0" fontId="3" fillId="2" borderId="19" xfId="0" applyFont="1" applyFill="1" applyBorder="1" applyAlignment="1">
      <alignment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2" fillId="3" borderId="26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4" borderId="27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5" fillId="0" borderId="12" xfId="0" applyFont="1" applyBorder="1" applyAlignment="1">
      <alignment horizontal="left" vertical="center"/>
    </xf>
    <xf numFmtId="0" fontId="14" fillId="0" borderId="2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4" borderId="27" xfId="0" applyFont="1" applyFill="1" applyBorder="1" applyAlignment="1">
      <alignment horizontal="left" vertical="center"/>
    </xf>
    <xf numFmtId="0" fontId="14" fillId="0" borderId="12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7" fillId="5" borderId="0" xfId="0" applyFont="1" applyFill="1" applyAlignment="1"/>
    <xf numFmtId="0" fontId="18" fillId="0" borderId="12" xfId="0" applyFont="1" applyBorder="1" applyAlignment="1">
      <alignment horizontal="left"/>
    </xf>
    <xf numFmtId="0" fontId="15" fillId="0" borderId="32" xfId="0" applyFont="1" applyBorder="1" applyAlignment="1">
      <alignment horizontal="left" vertical="center"/>
    </xf>
    <xf numFmtId="0" fontId="1" fillId="0" borderId="16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5" fillId="0" borderId="19" xfId="0" applyFont="1" applyBorder="1" applyAlignment="1">
      <alignment horizontal="left" vertical="center"/>
    </xf>
    <xf numFmtId="0" fontId="18" fillId="0" borderId="1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9" fillId="4" borderId="23" xfId="0" applyFont="1" applyFill="1" applyBorder="1" applyAlignment="1">
      <alignment horizontal="left"/>
    </xf>
    <xf numFmtId="0" fontId="14" fillId="4" borderId="23" xfId="0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24" fillId="0" borderId="12" xfId="0" applyFont="1" applyBorder="1" applyAlignment="1">
      <alignment horizontal="left"/>
    </xf>
    <xf numFmtId="0" fontId="25" fillId="0" borderId="15" xfId="0" applyFont="1" applyBorder="1" applyAlignment="1">
      <alignment horizontal="left"/>
    </xf>
    <xf numFmtId="0" fontId="26" fillId="0" borderId="12" xfId="0" applyFont="1" applyBorder="1" applyAlignment="1">
      <alignment horizontal="left"/>
    </xf>
    <xf numFmtId="0" fontId="0" fillId="0" borderId="0" xfId="0" applyFont="1" applyAlignment="1"/>
    <xf numFmtId="0" fontId="28" fillId="0" borderId="12" xfId="1" applyFont="1" applyBorder="1" applyAlignment="1">
      <alignment horizontal="left"/>
    </xf>
    <xf numFmtId="0" fontId="29" fillId="0" borderId="10" xfId="0" applyFont="1" applyBorder="1" applyAlignment="1">
      <alignment horizontal="left"/>
    </xf>
    <xf numFmtId="0" fontId="29" fillId="0" borderId="0" xfId="0" applyFont="1"/>
    <xf numFmtId="0" fontId="24" fillId="0" borderId="5" xfId="0" applyFont="1" applyBorder="1" applyAlignment="1">
      <alignment horizontal="left"/>
    </xf>
    <xf numFmtId="0" fontId="29" fillId="0" borderId="9" xfId="0" applyFont="1" applyBorder="1" applyAlignment="1">
      <alignment horizontal="left" wrapText="1"/>
    </xf>
    <xf numFmtId="0" fontId="4" fillId="0" borderId="11" xfId="0" applyFont="1" applyBorder="1"/>
    <xf numFmtId="0" fontId="4" fillId="0" borderId="10" xfId="0" applyFont="1" applyBorder="1"/>
    <xf numFmtId="0" fontId="3" fillId="2" borderId="16" xfId="0" applyFont="1" applyFill="1" applyBorder="1" applyAlignment="1">
      <alignment vertical="center"/>
    </xf>
    <xf numFmtId="0" fontId="4" fillId="0" borderId="17" xfId="0" applyFont="1" applyBorder="1"/>
    <xf numFmtId="0" fontId="7" fillId="0" borderId="11" xfId="0" applyFont="1" applyBorder="1" applyAlignment="1">
      <alignment horizontal="center" vertical="top"/>
    </xf>
    <xf numFmtId="164" fontId="5" fillId="0" borderId="1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2" borderId="1" xfId="0" applyFont="1" applyFill="1" applyBorder="1" applyAlignment="1">
      <alignment vertical="center"/>
    </xf>
    <xf numFmtId="0" fontId="4" fillId="0" borderId="2" xfId="0" applyFont="1" applyBorder="1"/>
    <xf numFmtId="14" fontId="5" fillId="0" borderId="20" xfId="0" applyNumberFormat="1" applyFont="1" applyBorder="1" applyAlignment="1">
      <alignment horizontal="center" vertical="top"/>
    </xf>
    <xf numFmtId="0" fontId="4" fillId="0" borderId="21" xfId="0" applyFont="1" applyBorder="1"/>
    <xf numFmtId="0" fontId="4" fillId="0" borderId="22" xfId="0" applyFont="1" applyBorder="1"/>
    <xf numFmtId="0" fontId="5" fillId="0" borderId="6" xfId="0" applyFont="1" applyBorder="1" applyAlignment="1">
      <alignment horizontal="center" vertical="top"/>
    </xf>
    <xf numFmtId="0" fontId="4" fillId="0" borderId="7" xfId="0" applyFont="1" applyBorder="1"/>
    <xf numFmtId="0" fontId="4" fillId="0" borderId="8" xfId="0" applyFont="1" applyBorder="1"/>
    <xf numFmtId="0" fontId="5" fillId="0" borderId="13" xfId="0" applyFont="1" applyBorder="1" applyAlignment="1">
      <alignment horizontal="center" vertical="top"/>
    </xf>
    <xf numFmtId="0" fontId="4" fillId="0" borderId="14" xfId="0" applyFont="1" applyBorder="1"/>
    <xf numFmtId="0" fontId="4" fillId="0" borderId="15" xfId="0" applyFont="1" applyBorder="1"/>
    <xf numFmtId="0" fontId="8" fillId="0" borderId="1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4" fillId="0" borderId="4" xfId="0" applyFont="1" applyBorder="1"/>
    <xf numFmtId="0" fontId="11" fillId="3" borderId="13" xfId="0" applyFont="1" applyFill="1" applyBorder="1" applyAlignment="1">
      <alignment horizontal="left" vertical="center"/>
    </xf>
    <xf numFmtId="0" fontId="10" fillId="0" borderId="18" xfId="0" applyFont="1" applyBorder="1" applyAlignment="1">
      <alignment horizontal="center" vertical="top"/>
    </xf>
    <xf numFmtId="0" fontId="20" fillId="0" borderId="0" xfId="0" applyFont="1"/>
    <xf numFmtId="0" fontId="3" fillId="2" borderId="9" xfId="0" applyFont="1" applyFill="1" applyBorder="1" applyAlignment="1">
      <alignment vertical="center"/>
    </xf>
    <xf numFmtId="0" fontId="1" fillId="0" borderId="9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4" fillId="0" borderId="18" xfId="0" applyFont="1" applyBorder="1"/>
    <xf numFmtId="0" fontId="30" fillId="0" borderId="1" xfId="0" applyFont="1" applyBorder="1" applyAlignment="1">
      <alignment horizontal="left" vertical="center" wrapText="1"/>
    </xf>
    <xf numFmtId="0" fontId="28" fillId="0" borderId="3" xfId="0" applyFont="1" applyBorder="1"/>
    <xf numFmtId="0" fontId="28" fillId="0" borderId="2" xfId="0" applyFont="1" applyBorder="1"/>
    <xf numFmtId="0" fontId="28" fillId="0" borderId="11" xfId="0" applyFont="1" applyBorder="1"/>
    <xf numFmtId="0" fontId="28" fillId="0" borderId="10" xfId="0" applyFont="1" applyBorder="1"/>
    <xf numFmtId="0" fontId="31" fillId="0" borderId="9" xfId="0" applyFont="1" applyBorder="1" applyAlignment="1">
      <alignment horizontal="left"/>
    </xf>
    <xf numFmtId="0" fontId="32" fillId="0" borderId="29" xfId="0" applyFont="1" applyBorder="1" applyAlignment="1">
      <alignment horizontal="left" wrapText="1"/>
    </xf>
    <xf numFmtId="0" fontId="28" fillId="0" borderId="30" xfId="0" applyFont="1" applyBorder="1"/>
    <xf numFmtId="0" fontId="28" fillId="0" borderId="31" xfId="0" applyFont="1" applyBorder="1"/>
    <xf numFmtId="0" fontId="32" fillId="0" borderId="9" xfId="0" applyFont="1" applyBorder="1" applyAlignment="1">
      <alignment horizontal="left" wrapText="1"/>
    </xf>
    <xf numFmtId="0" fontId="32" fillId="0" borderId="11" xfId="0" applyFont="1" applyBorder="1" applyAlignment="1">
      <alignment horizontal="left" wrapText="1"/>
    </xf>
    <xf numFmtId="0" fontId="32" fillId="0" borderId="10" xfId="0" applyFont="1" applyBorder="1" applyAlignment="1">
      <alignment horizontal="left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5</xdr:row>
      <xdr:rowOff>95250</xdr:rowOff>
    </xdr:from>
    <xdr:ext cx="3819525" cy="533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41000" y="3518063"/>
          <a:ext cx="3810000" cy="523875"/>
        </a:xfrm>
        <a:prstGeom prst="roundRect">
          <a:avLst>
            <a:gd name="adj" fmla="val 16667"/>
          </a:avLst>
        </a:prstGeom>
        <a:gradFill>
          <a:gsLst>
            <a:gs pos="0">
              <a:srgbClr val="8296B0"/>
            </a:gs>
            <a:gs pos="52999">
              <a:srgbClr val="D4DEFF"/>
            </a:gs>
            <a:gs pos="83000">
              <a:srgbClr val="D4DEFF"/>
            </a:gs>
            <a:gs pos="100000">
              <a:srgbClr val="96AB94"/>
            </a:gs>
          </a:gsLst>
          <a:lin ang="5400000" scaled="0"/>
        </a:gra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22850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0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0" u="none" strike="noStrike" cap="none">
              <a:solidFill>
                <a:srgbClr val="EBE9E9"/>
              </a:solidFill>
              <a:latin typeface="Verdana"/>
              <a:ea typeface="Verdana"/>
              <a:cs typeface="Verdana"/>
              <a:sym typeface="Verdana"/>
            </a:rPr>
            <a:t>BON DE COMMANDE 2019-2020</a:t>
          </a:r>
          <a:endParaRPr sz="1400"/>
        </a:p>
      </xdr:txBody>
    </xdr:sp>
    <xdr:clientData fLocksWithSheet="0"/>
  </xdr:oneCellAnchor>
  <xdr:oneCellAnchor>
    <xdr:from>
      <xdr:col>2</xdr:col>
      <xdr:colOff>19050</xdr:colOff>
      <xdr:row>0</xdr:row>
      <xdr:rowOff>76200</xdr:rowOff>
    </xdr:from>
    <xdr:ext cx="296227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fr/Raspberry-Plaque-mod%C3%A8le-Cortex-11811853/dp/B07KKBCXLY/ref=sr_1_3?__mk_fr_FR=%C3%85M%C3%85%C5%BD%C3%95%C3%91&amp;keywords=raspberry+pi+3+A%2B&amp;qid=1571425458&amp;s=computers&amp;sr=1-3" TargetMode="External"/><Relationship Id="rId3" Type="http://schemas.openxmlformats.org/officeDocument/2006/relationships/hyperlink" Target="https://www.gotronic.fr/art-carte-arduino-uno-12420.htm" TargetMode="External"/><Relationship Id="rId7" Type="http://schemas.openxmlformats.org/officeDocument/2006/relationships/hyperlink" Target="https://www.reichelt.de/xbee-802-15-4-1-mw-antenne-pcb-s-rie-1-zigbee-xbee-ca-p108351.html?&amp;trstct=pos_0" TargetMode="External"/><Relationship Id="rId2" Type="http://schemas.openxmlformats.org/officeDocument/2006/relationships/hyperlink" Target="https://www.gotronic.fr/art-capteur-de-gaz-grove-101020088-23825.htm" TargetMode="External"/><Relationship Id="rId1" Type="http://schemas.openxmlformats.org/officeDocument/2006/relationships/hyperlink" Target="mailto:amandine.ducruet@edu.ece.fr" TargetMode="External"/><Relationship Id="rId6" Type="http://schemas.openxmlformats.org/officeDocument/2006/relationships/hyperlink" Target="https://www.reichelt.de/sdhc-speicherkarte-8gb-intenso-class-10-intenso-3411460-p126582.html?&amp;trstct=pol_1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amazon.fr/Adafruit-Electret-Microphone-Amplifier-Adjustable/dp/B00K9M6S1O/ref=sr_1_3?__mk_fr_FR=%C3%85M%C3%85%C5%BD%C3%95%C3%91&amp;keywords=adafruit+MAX4466&amp;qid=1572363027&amp;sr=8-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amazon.fr/poussi%C3%A8re-pr%C3%A9cision-purificateur-num%C3%A9rique-moniteur/dp/B07HKGN68T" TargetMode="External"/><Relationship Id="rId9" Type="http://schemas.openxmlformats.org/officeDocument/2006/relationships/hyperlink" Target="https://www.kubii.fr/14-chargeurs-alimentations-raspberry/1639-alimentation-raspberry-pi-5v-25a-pour-raspberry-pi-3-couleur-blanche-kubii-64052271091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0"/>
  <sheetViews>
    <sheetView tabSelected="1" topLeftCell="D12" zoomScale="83" zoomScaleNormal="83" workbookViewId="0">
      <selection activeCell="H24" sqref="H24"/>
    </sheetView>
  </sheetViews>
  <sheetFormatPr baseColWidth="10" defaultColWidth="12.6640625" defaultRowHeight="15" customHeight="1" x14ac:dyDescent="0.3"/>
  <cols>
    <col min="1" max="1" width="9.4140625" hidden="1" customWidth="1"/>
    <col min="2" max="2" width="3" customWidth="1"/>
    <col min="3" max="3" width="20.5" customWidth="1"/>
    <col min="4" max="4" width="17.5" customWidth="1"/>
    <col min="5" max="5" width="15.4140625" customWidth="1"/>
    <col min="6" max="6" width="54.6640625" customWidth="1"/>
    <col min="7" max="7" width="23.25" customWidth="1"/>
    <col min="8" max="8" width="7.4140625" customWidth="1"/>
    <col min="9" max="9" width="13.25" customWidth="1"/>
    <col min="10" max="10" width="9.9140625" customWidth="1"/>
    <col min="11" max="11" width="83.4140625" customWidth="1"/>
    <col min="12" max="26" width="9.4140625" customWidth="1"/>
  </cols>
  <sheetData>
    <row r="1" spans="1:12" ht="14.25" customHeight="1" x14ac:dyDescent="0.3">
      <c r="B1" s="60"/>
      <c r="C1" s="61"/>
      <c r="D1" s="61"/>
      <c r="E1" s="61"/>
      <c r="F1" s="61"/>
      <c r="G1" s="61"/>
      <c r="H1" s="61"/>
      <c r="I1" s="61"/>
      <c r="J1" s="61"/>
      <c r="K1" s="61"/>
    </row>
    <row r="2" spans="1:12" ht="15" customHeight="1" x14ac:dyDescent="0.3"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2" ht="15" customHeight="1" x14ac:dyDescent="0.35">
      <c r="A3" s="1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2" ht="14.25" customHeight="1" x14ac:dyDescent="0.35">
      <c r="A4" s="1" t="s">
        <v>1</v>
      </c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1:12" ht="15" customHeight="1" x14ac:dyDescent="0.35">
      <c r="A5" s="1" t="s">
        <v>2</v>
      </c>
      <c r="B5" s="61"/>
      <c r="C5" s="61"/>
      <c r="D5" s="61"/>
      <c r="E5" s="61"/>
      <c r="F5" s="61"/>
      <c r="G5" s="61"/>
      <c r="H5" s="61"/>
      <c r="I5" s="61"/>
      <c r="J5" s="61"/>
      <c r="K5" s="61"/>
    </row>
    <row r="6" spans="1:12" ht="14.25" customHeight="1" x14ac:dyDescent="0.3">
      <c r="B6" s="62" t="s">
        <v>3</v>
      </c>
      <c r="C6" s="63"/>
      <c r="D6" s="74" t="s">
        <v>4</v>
      </c>
      <c r="E6" s="63"/>
      <c r="F6" s="75"/>
      <c r="G6" s="2" t="s">
        <v>5</v>
      </c>
      <c r="H6" s="67" t="s">
        <v>6</v>
      </c>
      <c r="I6" s="68"/>
      <c r="J6" s="68"/>
      <c r="K6" s="69"/>
    </row>
    <row r="7" spans="1:12" ht="14.25" customHeight="1" x14ac:dyDescent="0.35">
      <c r="A7" s="3" t="s">
        <v>7</v>
      </c>
      <c r="B7" s="80" t="s">
        <v>8</v>
      </c>
      <c r="C7" s="55"/>
      <c r="D7" s="58" t="s">
        <v>9</v>
      </c>
      <c r="E7" s="55"/>
      <c r="F7" s="76"/>
      <c r="G7" s="4" t="s">
        <v>10</v>
      </c>
      <c r="H7" s="73" t="s">
        <v>0</v>
      </c>
      <c r="I7" s="71"/>
      <c r="J7" s="5">
        <v>19</v>
      </c>
      <c r="K7" s="46">
        <v>61</v>
      </c>
    </row>
    <row r="8" spans="1:12" ht="14.25" customHeight="1" x14ac:dyDescent="0.35">
      <c r="A8" s="3" t="s">
        <v>11</v>
      </c>
      <c r="B8" s="80" t="s">
        <v>12</v>
      </c>
      <c r="C8" s="55"/>
      <c r="D8" s="59">
        <v>606921805</v>
      </c>
      <c r="E8" s="55"/>
      <c r="F8" s="76"/>
      <c r="G8" s="4" t="s">
        <v>13</v>
      </c>
      <c r="H8" s="70" t="s">
        <v>14</v>
      </c>
      <c r="I8" s="71"/>
      <c r="J8" s="71"/>
      <c r="K8" s="72"/>
    </row>
    <row r="9" spans="1:12" ht="14.25" customHeight="1" x14ac:dyDescent="0.35">
      <c r="A9" s="3" t="s">
        <v>15</v>
      </c>
      <c r="B9" s="56" t="s">
        <v>16</v>
      </c>
      <c r="C9" s="57"/>
      <c r="D9" s="78" t="s">
        <v>17</v>
      </c>
      <c r="E9" s="57"/>
      <c r="F9" s="76"/>
      <c r="G9" s="6" t="s">
        <v>18</v>
      </c>
      <c r="H9" s="64">
        <v>43782</v>
      </c>
      <c r="I9" s="65"/>
      <c r="J9" s="65"/>
      <c r="K9" s="66"/>
    </row>
    <row r="10" spans="1:12" ht="14.25" customHeight="1" x14ac:dyDescent="0.35">
      <c r="A10" s="3" t="s">
        <v>19</v>
      </c>
      <c r="B10" s="60"/>
      <c r="C10" s="61"/>
      <c r="D10" s="61"/>
      <c r="E10" s="61"/>
      <c r="F10" s="61"/>
      <c r="G10" s="61"/>
      <c r="H10" s="61"/>
      <c r="I10" s="61"/>
      <c r="J10" s="61"/>
    </row>
    <row r="11" spans="1:12" ht="14.25" customHeight="1" x14ac:dyDescent="0.35">
      <c r="A11" s="3" t="s">
        <v>17</v>
      </c>
      <c r="B11" s="65"/>
      <c r="C11" s="65"/>
      <c r="D11" s="65"/>
      <c r="E11" s="65"/>
      <c r="F11" s="65"/>
      <c r="G11" s="65"/>
      <c r="H11" s="65"/>
      <c r="I11" s="65"/>
      <c r="J11" s="65"/>
    </row>
    <row r="12" spans="1:12" ht="14.25" customHeight="1" x14ac:dyDescent="0.3">
      <c r="B12" s="7"/>
      <c r="C12" s="8" t="s">
        <v>20</v>
      </c>
      <c r="D12" s="8" t="s">
        <v>21</v>
      </c>
      <c r="E12" s="77" t="s">
        <v>22</v>
      </c>
      <c r="F12" s="71"/>
      <c r="G12" s="72"/>
      <c r="H12" s="9" t="s">
        <v>23</v>
      </c>
      <c r="I12" s="10" t="s">
        <v>24</v>
      </c>
      <c r="J12" s="11" t="s">
        <v>25</v>
      </c>
      <c r="K12" s="12" t="s">
        <v>26</v>
      </c>
    </row>
    <row r="13" spans="1:12" ht="14.25" customHeight="1" x14ac:dyDescent="0.35">
      <c r="B13" s="13">
        <v>1</v>
      </c>
      <c r="C13" s="14" t="s">
        <v>27</v>
      </c>
      <c r="D13" s="15">
        <v>34006</v>
      </c>
      <c r="E13" s="84" t="s">
        <v>28</v>
      </c>
      <c r="F13" s="85"/>
      <c r="G13" s="86"/>
      <c r="H13" s="16">
        <v>2</v>
      </c>
      <c r="I13" s="17">
        <v>44.5</v>
      </c>
      <c r="J13" s="18">
        <f t="shared" ref="J13:J15" si="0">H13*I13</f>
        <v>89</v>
      </c>
      <c r="K13" s="52" t="s">
        <v>29</v>
      </c>
      <c r="L13" s="3" t="s">
        <v>30</v>
      </c>
    </row>
    <row r="14" spans="1:12" ht="14.25" customHeight="1" x14ac:dyDescent="0.35">
      <c r="B14" s="19">
        <v>2</v>
      </c>
      <c r="C14" s="20" t="s">
        <v>27</v>
      </c>
      <c r="D14" s="21">
        <v>25950</v>
      </c>
      <c r="E14" s="53" t="s">
        <v>31</v>
      </c>
      <c r="F14" s="87"/>
      <c r="G14" s="88"/>
      <c r="H14" s="22">
        <v>2</v>
      </c>
      <c r="I14" s="22">
        <v>19.5</v>
      </c>
      <c r="J14" s="18">
        <f t="shared" si="0"/>
        <v>39</v>
      </c>
      <c r="K14" s="45" t="s">
        <v>32</v>
      </c>
      <c r="L14" s="3" t="s">
        <v>30</v>
      </c>
    </row>
    <row r="15" spans="1:12" ht="14.25" customHeight="1" x14ac:dyDescent="0.35">
      <c r="B15" s="19">
        <v>3</v>
      </c>
      <c r="C15" s="28" t="s">
        <v>36</v>
      </c>
      <c r="D15" s="21">
        <v>2520785</v>
      </c>
      <c r="E15" s="53" t="s">
        <v>37</v>
      </c>
      <c r="F15" s="87"/>
      <c r="G15" s="88"/>
      <c r="H15" s="26">
        <v>1</v>
      </c>
      <c r="I15" s="26">
        <v>9.9</v>
      </c>
      <c r="J15" s="27">
        <f>H15*I15</f>
        <v>9.9</v>
      </c>
      <c r="K15" s="45" t="s">
        <v>38</v>
      </c>
      <c r="L15" s="3" t="s">
        <v>30</v>
      </c>
    </row>
    <row r="16" spans="1:12" ht="14.25" customHeight="1" x14ac:dyDescent="0.35">
      <c r="B16" s="19">
        <v>4</v>
      </c>
      <c r="C16" s="28" t="s">
        <v>33</v>
      </c>
      <c r="D16" s="29">
        <v>11811853</v>
      </c>
      <c r="E16" s="53" t="s">
        <v>34</v>
      </c>
      <c r="F16" s="87"/>
      <c r="G16" s="88"/>
      <c r="H16" s="26">
        <v>1</v>
      </c>
      <c r="I16" s="26">
        <v>21.08</v>
      </c>
      <c r="J16" s="27">
        <f t="shared" ref="J16" si="1">H16*I16</f>
        <v>21.08</v>
      </c>
      <c r="K16" s="45" t="s">
        <v>35</v>
      </c>
      <c r="L16" s="3" t="s">
        <v>30</v>
      </c>
    </row>
    <row r="17" spans="2:12" ht="14.25" customHeight="1" x14ac:dyDescent="0.35">
      <c r="B17" s="19">
        <v>5</v>
      </c>
      <c r="C17" s="23" t="s">
        <v>33</v>
      </c>
      <c r="D17" s="24" t="s">
        <v>39</v>
      </c>
      <c r="E17" s="89" t="s">
        <v>40</v>
      </c>
      <c r="F17" s="87"/>
      <c r="G17" s="88"/>
      <c r="H17" s="25">
        <v>2</v>
      </c>
      <c r="I17" s="26">
        <v>22.99</v>
      </c>
      <c r="J17" s="27">
        <f>H17*I17</f>
        <v>45.98</v>
      </c>
      <c r="K17" s="45" t="s">
        <v>41</v>
      </c>
      <c r="L17" s="3" t="s">
        <v>30</v>
      </c>
    </row>
    <row r="18" spans="2:12" ht="14.25" customHeight="1" x14ac:dyDescent="0.35">
      <c r="B18" s="19">
        <v>6</v>
      </c>
      <c r="C18" s="28" t="s">
        <v>33</v>
      </c>
      <c r="D18" s="29">
        <v>1063</v>
      </c>
      <c r="E18" s="90" t="s">
        <v>42</v>
      </c>
      <c r="F18" s="91"/>
      <c r="G18" s="92"/>
      <c r="H18" s="26">
        <v>2</v>
      </c>
      <c r="I18" s="26">
        <v>10.199999999999999</v>
      </c>
      <c r="J18" s="18">
        <f t="shared" ref="J18:J41" si="2">H18*I18</f>
        <v>20.399999999999999</v>
      </c>
      <c r="K18" s="45" t="s">
        <v>43</v>
      </c>
      <c r="L18" s="3" t="s">
        <v>30</v>
      </c>
    </row>
    <row r="19" spans="2:12" ht="14.25" customHeight="1" x14ac:dyDescent="0.35">
      <c r="B19" s="19">
        <v>7</v>
      </c>
      <c r="C19" s="28" t="s">
        <v>33</v>
      </c>
      <c r="D19" s="29" t="s">
        <v>44</v>
      </c>
      <c r="E19" s="93" t="s">
        <v>45</v>
      </c>
      <c r="F19" s="94"/>
      <c r="G19" s="95"/>
      <c r="H19" s="26">
        <v>2</v>
      </c>
      <c r="I19" s="26">
        <v>12.99</v>
      </c>
      <c r="J19" s="27">
        <f t="shared" ref="J19:J23" si="3">H19*I19</f>
        <v>25.98</v>
      </c>
      <c r="K19" s="45" t="s">
        <v>46</v>
      </c>
      <c r="L19" s="3"/>
    </row>
    <row r="20" spans="2:12" ht="14.25" customHeight="1" x14ac:dyDescent="0.35">
      <c r="B20" s="19">
        <v>8</v>
      </c>
      <c r="C20" s="28" t="s">
        <v>33</v>
      </c>
      <c r="D20" s="30" t="s">
        <v>47</v>
      </c>
      <c r="E20" s="93" t="s">
        <v>48</v>
      </c>
      <c r="F20" s="94"/>
      <c r="G20" s="95"/>
      <c r="H20" s="26">
        <v>2</v>
      </c>
      <c r="I20" s="26">
        <v>6.99</v>
      </c>
      <c r="J20" s="27">
        <f t="shared" si="3"/>
        <v>13.98</v>
      </c>
      <c r="K20" s="45" t="s">
        <v>49</v>
      </c>
      <c r="L20" s="3" t="s">
        <v>30</v>
      </c>
    </row>
    <row r="21" spans="2:12" ht="14.25" customHeight="1" x14ac:dyDescent="0.35">
      <c r="B21" s="19">
        <v>9</v>
      </c>
      <c r="C21" s="28" t="s">
        <v>33</v>
      </c>
      <c r="D21" s="29" t="s">
        <v>50</v>
      </c>
      <c r="E21" s="93" t="s">
        <v>51</v>
      </c>
      <c r="F21" s="94"/>
      <c r="G21" s="95"/>
      <c r="H21" s="26">
        <v>1</v>
      </c>
      <c r="I21" s="26">
        <v>6.99</v>
      </c>
      <c r="J21" s="27">
        <f t="shared" si="3"/>
        <v>6.99</v>
      </c>
      <c r="K21" s="45" t="s">
        <v>52</v>
      </c>
      <c r="L21" s="3" t="s">
        <v>30</v>
      </c>
    </row>
    <row r="22" spans="2:12" ht="14.25" customHeight="1" x14ac:dyDescent="0.35">
      <c r="B22" s="19">
        <v>10</v>
      </c>
      <c r="C22" s="28" t="s">
        <v>33</v>
      </c>
      <c r="D22" s="29" t="s">
        <v>53</v>
      </c>
      <c r="E22" s="93" t="s">
        <v>54</v>
      </c>
      <c r="F22" s="94"/>
      <c r="G22" s="95"/>
      <c r="H22" s="26">
        <v>2</v>
      </c>
      <c r="I22" s="26">
        <v>3.48</v>
      </c>
      <c r="J22" s="27">
        <f t="shared" si="3"/>
        <v>6.96</v>
      </c>
      <c r="K22" s="45" t="s">
        <v>55</v>
      </c>
      <c r="L22" s="3" t="s">
        <v>30</v>
      </c>
    </row>
    <row r="23" spans="2:12" ht="14.25" customHeight="1" x14ac:dyDescent="0.35">
      <c r="B23" s="19">
        <v>11</v>
      </c>
      <c r="C23" s="47" t="s">
        <v>60</v>
      </c>
      <c r="D23" s="50" t="s">
        <v>63</v>
      </c>
      <c r="E23" s="53" t="s">
        <v>62</v>
      </c>
      <c r="F23" s="87"/>
      <c r="G23" s="88"/>
      <c r="H23" s="26">
        <v>1</v>
      </c>
      <c r="I23" s="26">
        <v>4.4000000000000004</v>
      </c>
      <c r="J23" s="27">
        <f t="shared" si="3"/>
        <v>4.4000000000000004</v>
      </c>
      <c r="K23" s="49" t="s">
        <v>61</v>
      </c>
      <c r="L23" s="3" t="s">
        <v>30</v>
      </c>
    </row>
    <row r="24" spans="2:12" ht="14.25" customHeight="1" x14ac:dyDescent="0.35">
      <c r="B24" s="19">
        <v>12</v>
      </c>
      <c r="C24" s="47" t="s">
        <v>60</v>
      </c>
      <c r="D24" s="50" t="s">
        <v>65</v>
      </c>
      <c r="E24" s="53" t="s">
        <v>66</v>
      </c>
      <c r="F24" s="87"/>
      <c r="G24" s="88"/>
      <c r="H24" s="26">
        <v>2</v>
      </c>
      <c r="I24" s="26">
        <v>26.95</v>
      </c>
      <c r="J24" s="27">
        <f t="shared" si="2"/>
        <v>53.9</v>
      </c>
      <c r="K24" s="49" t="s">
        <v>64</v>
      </c>
      <c r="L24" s="3"/>
    </row>
    <row r="25" spans="2:12" ht="14.25" customHeight="1" x14ac:dyDescent="0.35">
      <c r="B25" s="19">
        <v>13</v>
      </c>
      <c r="C25" s="47"/>
      <c r="D25" s="50"/>
      <c r="E25" s="53"/>
      <c r="F25" s="87"/>
      <c r="G25" s="88"/>
      <c r="H25" s="22"/>
      <c r="I25" s="22"/>
      <c r="J25" s="27">
        <f t="shared" si="2"/>
        <v>0</v>
      </c>
      <c r="K25" s="49"/>
      <c r="L25" s="51"/>
    </row>
    <row r="26" spans="2:12" s="48" customFormat="1" ht="14.25" customHeight="1" x14ac:dyDescent="0.35">
      <c r="B26" s="19">
        <v>14</v>
      </c>
      <c r="C26" s="47"/>
      <c r="D26" s="50"/>
      <c r="E26" s="53"/>
      <c r="F26" s="87"/>
      <c r="G26" s="88"/>
      <c r="H26" s="26"/>
      <c r="I26" s="26"/>
      <c r="J26" s="27">
        <f t="shared" si="2"/>
        <v>0</v>
      </c>
      <c r="K26" s="49"/>
      <c r="L26" s="51"/>
    </row>
    <row r="27" spans="2:12" ht="14.25" customHeight="1" x14ac:dyDescent="0.35">
      <c r="B27" s="19">
        <v>15</v>
      </c>
      <c r="C27" s="20"/>
      <c r="D27" s="21"/>
      <c r="E27" s="53"/>
      <c r="F27" s="87"/>
      <c r="G27" s="88"/>
      <c r="H27" s="22"/>
      <c r="I27" s="22"/>
      <c r="J27" s="18">
        <f t="shared" si="2"/>
        <v>0</v>
      </c>
      <c r="K27" s="31"/>
      <c r="L27" s="3" t="s">
        <v>30</v>
      </c>
    </row>
    <row r="28" spans="2:12" ht="14.25" customHeight="1" x14ac:dyDescent="0.35">
      <c r="B28" s="19">
        <v>16</v>
      </c>
      <c r="C28" s="20"/>
      <c r="D28" s="21"/>
      <c r="E28" s="53"/>
      <c r="F28" s="87"/>
      <c r="G28" s="88"/>
      <c r="H28" s="22"/>
      <c r="I28" s="22"/>
      <c r="J28" s="18">
        <f t="shared" si="2"/>
        <v>0</v>
      </c>
      <c r="K28" s="31"/>
      <c r="L28" s="3" t="s">
        <v>30</v>
      </c>
    </row>
    <row r="29" spans="2:12" ht="14.25" customHeight="1" x14ac:dyDescent="0.35">
      <c r="B29" s="19">
        <v>17</v>
      </c>
      <c r="C29" s="28"/>
      <c r="D29" s="21"/>
      <c r="E29" s="53"/>
      <c r="F29" s="87"/>
      <c r="G29" s="88"/>
      <c r="H29" s="26"/>
      <c r="I29" s="26"/>
      <c r="J29" s="27">
        <f t="shared" si="2"/>
        <v>0</v>
      </c>
      <c r="K29" s="45"/>
      <c r="L29" s="3" t="s">
        <v>30</v>
      </c>
    </row>
    <row r="30" spans="2:12" ht="14.25" customHeight="1" x14ac:dyDescent="0.35">
      <c r="B30" s="19">
        <v>18</v>
      </c>
      <c r="C30" s="20"/>
      <c r="D30" s="21"/>
      <c r="E30" s="53"/>
      <c r="F30" s="87"/>
      <c r="G30" s="88"/>
      <c r="H30" s="22"/>
      <c r="I30" s="22"/>
      <c r="J30" s="18">
        <f t="shared" si="2"/>
        <v>0</v>
      </c>
      <c r="K30" s="31"/>
      <c r="L30" s="3" t="s">
        <v>30</v>
      </c>
    </row>
    <row r="31" spans="2:12" ht="14.25" customHeight="1" x14ac:dyDescent="0.35">
      <c r="B31" s="19">
        <v>20</v>
      </c>
      <c r="C31" s="20"/>
      <c r="D31" s="21"/>
      <c r="E31" s="81"/>
      <c r="F31" s="54"/>
      <c r="G31" s="55"/>
      <c r="H31" s="22"/>
      <c r="I31" s="22"/>
      <c r="J31" s="18">
        <f t="shared" si="2"/>
        <v>0</v>
      </c>
      <c r="K31" s="31"/>
      <c r="L31" s="3" t="s">
        <v>30</v>
      </c>
    </row>
    <row r="32" spans="2:12" ht="14.25" customHeight="1" x14ac:dyDescent="0.35">
      <c r="B32" s="19">
        <v>21</v>
      </c>
      <c r="C32" s="20"/>
      <c r="D32" s="21"/>
      <c r="E32" s="81"/>
      <c r="F32" s="54"/>
      <c r="G32" s="55"/>
      <c r="H32" s="22"/>
      <c r="I32" s="22"/>
      <c r="J32" s="18">
        <f t="shared" si="2"/>
        <v>0</v>
      </c>
      <c r="K32" s="31"/>
      <c r="L32" s="3" t="s">
        <v>30</v>
      </c>
    </row>
    <row r="33" spans="2:12" ht="14.25" customHeight="1" x14ac:dyDescent="0.35">
      <c r="B33" s="19">
        <v>22</v>
      </c>
      <c r="C33" s="20"/>
      <c r="D33" s="21"/>
      <c r="E33" s="81"/>
      <c r="F33" s="54"/>
      <c r="G33" s="55"/>
      <c r="H33" s="22"/>
      <c r="I33" s="22"/>
      <c r="J33" s="18">
        <f t="shared" si="2"/>
        <v>0</v>
      </c>
      <c r="K33" s="31"/>
      <c r="L33" s="3" t="s">
        <v>30</v>
      </c>
    </row>
    <row r="34" spans="2:12" ht="14.25" customHeight="1" x14ac:dyDescent="0.35">
      <c r="B34" s="19">
        <v>23</v>
      </c>
      <c r="C34" s="20"/>
      <c r="D34" s="21"/>
      <c r="E34" s="81"/>
      <c r="F34" s="54"/>
      <c r="G34" s="55"/>
      <c r="H34" s="22"/>
      <c r="I34" s="22"/>
      <c r="J34" s="18">
        <f t="shared" si="2"/>
        <v>0</v>
      </c>
      <c r="K34" s="31"/>
      <c r="L34" s="3" t="s">
        <v>30</v>
      </c>
    </row>
    <row r="35" spans="2:12" ht="14.25" customHeight="1" x14ac:dyDescent="0.35">
      <c r="B35" s="19">
        <v>24</v>
      </c>
      <c r="C35" s="20"/>
      <c r="D35" s="21"/>
      <c r="E35" s="81"/>
      <c r="F35" s="54"/>
      <c r="G35" s="55"/>
      <c r="H35" s="32"/>
      <c r="I35" s="22"/>
      <c r="J35" s="18">
        <f t="shared" si="2"/>
        <v>0</v>
      </c>
      <c r="K35" s="31"/>
      <c r="L35" s="3" t="s">
        <v>30</v>
      </c>
    </row>
    <row r="36" spans="2:12" ht="14.25" customHeight="1" x14ac:dyDescent="0.35">
      <c r="B36" s="19">
        <v>25</v>
      </c>
      <c r="C36" s="20"/>
      <c r="D36" s="21"/>
      <c r="E36" s="81"/>
      <c r="F36" s="54"/>
      <c r="G36" s="55"/>
      <c r="H36" s="22"/>
      <c r="I36" s="22"/>
      <c r="J36" s="18">
        <f t="shared" si="2"/>
        <v>0</v>
      </c>
      <c r="K36" s="31"/>
      <c r="L36" s="3" t="s">
        <v>30</v>
      </c>
    </row>
    <row r="37" spans="2:12" ht="14.25" customHeight="1" x14ac:dyDescent="0.35">
      <c r="B37" s="19">
        <v>26</v>
      </c>
      <c r="C37" s="20"/>
      <c r="D37" s="21"/>
      <c r="E37" s="81"/>
      <c r="F37" s="54"/>
      <c r="G37" s="55"/>
      <c r="H37" s="22"/>
      <c r="I37" s="22"/>
      <c r="J37" s="18">
        <f t="shared" si="2"/>
        <v>0</v>
      </c>
      <c r="K37" s="31"/>
      <c r="L37" s="3" t="s">
        <v>30</v>
      </c>
    </row>
    <row r="38" spans="2:12" ht="14.25" customHeight="1" x14ac:dyDescent="0.35">
      <c r="B38" s="19">
        <v>27</v>
      </c>
      <c r="C38" s="20"/>
      <c r="D38" s="21"/>
      <c r="E38" s="81"/>
      <c r="F38" s="54"/>
      <c r="G38" s="55"/>
      <c r="H38" s="22"/>
      <c r="I38" s="22"/>
      <c r="J38" s="18">
        <f t="shared" si="2"/>
        <v>0</v>
      </c>
      <c r="K38" s="31"/>
      <c r="L38" s="3" t="s">
        <v>30</v>
      </c>
    </row>
    <row r="39" spans="2:12" ht="14.25" customHeight="1" x14ac:dyDescent="0.35">
      <c r="B39" s="19">
        <v>28</v>
      </c>
      <c r="C39" s="20"/>
      <c r="D39" s="21"/>
      <c r="E39" s="81"/>
      <c r="F39" s="54"/>
      <c r="G39" s="55"/>
      <c r="H39" s="22"/>
      <c r="I39" s="22"/>
      <c r="J39" s="18">
        <f t="shared" si="2"/>
        <v>0</v>
      </c>
      <c r="K39" s="31"/>
      <c r="L39" s="3" t="s">
        <v>30</v>
      </c>
    </row>
    <row r="40" spans="2:12" ht="14.25" customHeight="1" x14ac:dyDescent="0.35">
      <c r="B40" s="19">
        <v>29</v>
      </c>
      <c r="C40" s="20"/>
      <c r="D40" s="21"/>
      <c r="E40" s="81"/>
      <c r="F40" s="54"/>
      <c r="G40" s="55"/>
      <c r="H40" s="22"/>
      <c r="I40" s="22"/>
      <c r="J40" s="18">
        <f t="shared" si="2"/>
        <v>0</v>
      </c>
      <c r="K40" s="31"/>
      <c r="L40" s="3" t="s">
        <v>30</v>
      </c>
    </row>
    <row r="41" spans="2:12" ht="14.25" customHeight="1" x14ac:dyDescent="0.35">
      <c r="B41" s="33">
        <v>30</v>
      </c>
      <c r="C41" s="34"/>
      <c r="D41" s="35"/>
      <c r="E41" s="82"/>
      <c r="F41" s="83"/>
      <c r="G41" s="57"/>
      <c r="H41" s="36"/>
      <c r="I41" s="32"/>
      <c r="J41" s="18">
        <f t="shared" si="2"/>
        <v>0</v>
      </c>
      <c r="K41" s="37"/>
      <c r="L41" s="3" t="s">
        <v>30</v>
      </c>
    </row>
    <row r="42" spans="2:12" ht="14.25" customHeight="1" x14ac:dyDescent="0.4">
      <c r="B42" s="38"/>
      <c r="C42" s="39" t="s">
        <v>56</v>
      </c>
      <c r="D42" s="38"/>
      <c r="E42" s="40"/>
      <c r="F42" s="41" t="s">
        <v>57</v>
      </c>
      <c r="G42" s="40"/>
      <c r="H42" s="38"/>
      <c r="I42" s="42" t="s">
        <v>58</v>
      </c>
      <c r="J42" s="43">
        <f>SUM(J13:J41)</f>
        <v>337.56999999999994</v>
      </c>
      <c r="K42" s="44" t="s">
        <v>59</v>
      </c>
    </row>
    <row r="43" spans="2:12" ht="14.25" customHeight="1" x14ac:dyDescent="0.3">
      <c r="B43" s="79"/>
      <c r="C43" s="61"/>
      <c r="D43" s="61"/>
      <c r="E43" s="61"/>
      <c r="F43" s="61"/>
      <c r="G43" s="61"/>
      <c r="H43" s="61"/>
      <c r="I43" s="61"/>
      <c r="J43" s="61"/>
    </row>
    <row r="44" spans="2:12" ht="14.25" customHeight="1" x14ac:dyDescent="0.3">
      <c r="B44" s="79"/>
      <c r="C44" s="61"/>
      <c r="D44" s="61"/>
      <c r="E44" s="61"/>
      <c r="F44" s="61"/>
      <c r="G44" s="61"/>
      <c r="H44" s="61"/>
      <c r="I44" s="61"/>
      <c r="J44" s="61"/>
    </row>
    <row r="45" spans="2:12" ht="14.25" customHeight="1" x14ac:dyDescent="0.3"/>
    <row r="46" spans="2:12" ht="14.25" customHeight="1" x14ac:dyDescent="0.3"/>
    <row r="47" spans="2:12" ht="14.25" customHeight="1" x14ac:dyDescent="0.3"/>
    <row r="48" spans="2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7">
    <mergeCell ref="E38:G38"/>
    <mergeCell ref="E37:G37"/>
    <mergeCell ref="E35:G35"/>
    <mergeCell ref="E13:G13"/>
    <mergeCell ref="E14:G14"/>
    <mergeCell ref="E15:G15"/>
    <mergeCell ref="E17:G17"/>
    <mergeCell ref="E30:G30"/>
    <mergeCell ref="E24:G24"/>
    <mergeCell ref="E23:G23"/>
    <mergeCell ref="E20:G20"/>
    <mergeCell ref="E22:G22"/>
    <mergeCell ref="E21:G21"/>
    <mergeCell ref="E19:G19"/>
    <mergeCell ref="E27:G27"/>
    <mergeCell ref="E25:G25"/>
    <mergeCell ref="B44:J44"/>
    <mergeCell ref="B7:C7"/>
    <mergeCell ref="B8:C8"/>
    <mergeCell ref="E28:G28"/>
    <mergeCell ref="E29:G29"/>
    <mergeCell ref="E16:G16"/>
    <mergeCell ref="E39:G39"/>
    <mergeCell ref="E40:G40"/>
    <mergeCell ref="E41:G41"/>
    <mergeCell ref="B43:J43"/>
    <mergeCell ref="E31:G31"/>
    <mergeCell ref="E32:G32"/>
    <mergeCell ref="E33:G33"/>
    <mergeCell ref="E34:G34"/>
    <mergeCell ref="E36:G36"/>
    <mergeCell ref="E18:G18"/>
    <mergeCell ref="E26:G26"/>
    <mergeCell ref="B9:C9"/>
    <mergeCell ref="D7:E7"/>
    <mergeCell ref="D8:E8"/>
    <mergeCell ref="B1:K5"/>
    <mergeCell ref="B6:C6"/>
    <mergeCell ref="H9:K9"/>
    <mergeCell ref="H6:K6"/>
    <mergeCell ref="H8:K8"/>
    <mergeCell ref="H7:I7"/>
    <mergeCell ref="D6:E6"/>
    <mergeCell ref="F6:F9"/>
    <mergeCell ref="E12:G12"/>
    <mergeCell ref="D9:E9"/>
    <mergeCell ref="B10:J11"/>
  </mergeCells>
  <dataValidations count="2">
    <dataValidation type="list" allowBlank="1" showErrorMessage="1" sqref="H7" xr:uid="{00000000-0002-0000-0000-000000000000}">
      <formula1>$A$3:$A$5</formula1>
    </dataValidation>
    <dataValidation type="list" allowBlank="1" showErrorMessage="1" sqref="D9" xr:uid="{00000000-0002-0000-0000-000001000000}">
      <formula1>$A$7:$A$11</formula1>
    </dataValidation>
  </dataValidations>
  <hyperlinks>
    <hyperlink ref="D7" r:id="rId1" xr:uid="{00000000-0004-0000-0000-000000000000}"/>
    <hyperlink ref="K13" r:id="rId2" location="complte_desc" xr:uid="{00000000-0004-0000-0000-000001000000}"/>
    <hyperlink ref="K14" r:id="rId3" location="complte_desc" xr:uid="{00000000-0004-0000-0000-000002000000}"/>
    <hyperlink ref="K17" r:id="rId4" xr:uid="{00000000-0004-0000-0000-000005000000}"/>
    <hyperlink ref="K18" r:id="rId5" xr:uid="{00000000-0004-0000-0000-000006000000}"/>
    <hyperlink ref="K23" r:id="rId6" xr:uid="{7FEABDE1-D76D-4101-B307-CEB18D3F5D32}"/>
    <hyperlink ref="K24" r:id="rId7" xr:uid="{0536EB77-FA79-4F28-85FA-A450ED407A80}"/>
    <hyperlink ref="K16" r:id="rId8" xr:uid="{53411E57-30AA-4D2C-8DFF-387E1B8397D2}"/>
    <hyperlink ref="K15" r:id="rId9" xr:uid="{6D45B385-1438-4BC7-BF01-A6E0C60E8861}"/>
  </hyperlinks>
  <pageMargins left="0.25" right="0.25" top="0.75" bottom="0.75" header="0" footer="0"/>
  <pageSetup paperSize="9" orientation="landscape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Buruian</dc:creator>
  <cp:lastModifiedBy>Amandine</cp:lastModifiedBy>
  <dcterms:created xsi:type="dcterms:W3CDTF">2017-11-09T14:23:04Z</dcterms:created>
  <dcterms:modified xsi:type="dcterms:W3CDTF">2019-11-13T22:30:07Z</dcterms:modified>
</cp:coreProperties>
</file>